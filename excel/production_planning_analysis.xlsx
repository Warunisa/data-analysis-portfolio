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l-my.sharepoint.com/personal/warunisa_masholdings_com/Documents/Desktop/"/>
    </mc:Choice>
  </mc:AlternateContent>
  <xr:revisionPtr revIDLastSave="0" documentId="8_{6528A67C-C957-487C-BB0B-1F616A66A3E5}" xr6:coauthVersionLast="47" xr6:coauthVersionMax="47" xr10:uidLastSave="{00000000-0000-0000-0000-000000000000}"/>
  <bookViews>
    <workbookView xWindow="-108" yWindow="-108" windowWidth="23256" windowHeight="12456" xr2:uid="{B7E7686B-2B92-4436-BD15-EE66CCC8F5D9}"/>
  </bookViews>
  <sheets>
    <sheet name="Raw_Data" sheetId="1" r:id="rId1"/>
    <sheet name="Summary" sheetId="2" r:id="rId2"/>
    <sheet name="Pivot" sheetId="3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4" i="2"/>
  <c r="B3" i="2"/>
</calcChain>
</file>

<file path=xl/sharedStrings.xml><?xml version="1.0" encoding="utf-8"?>
<sst xmlns="http://schemas.openxmlformats.org/spreadsheetml/2006/main" count="31" uniqueCount="17">
  <si>
    <t>Date</t>
  </si>
  <si>
    <t>Department</t>
  </si>
  <si>
    <t>Product</t>
  </si>
  <si>
    <t>Quantity</t>
  </si>
  <si>
    <t>Efficiency</t>
  </si>
  <si>
    <t>Knitting</t>
  </si>
  <si>
    <t>Fabric A</t>
  </si>
  <si>
    <t>Dyeing</t>
  </si>
  <si>
    <t>Fabric B</t>
  </si>
  <si>
    <t>Total Quantity</t>
  </si>
  <si>
    <t>Total Quantity by Department</t>
  </si>
  <si>
    <t>Average Efficiency</t>
  </si>
  <si>
    <t>Avg Efficiency</t>
  </si>
  <si>
    <t>Row Labels</t>
  </si>
  <si>
    <t>Grand Total</t>
  </si>
  <si>
    <t>Sum of Quantity</t>
  </si>
  <si>
    <t>Average of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</si>
</sst>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[production_planning_analysis.xlsx]Pivot!PivotTable1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Pivot!$A$4:$A$6</c:f>
              <c:strCache>
                <c:ptCount val="2"/>
                <c:pt idx="0">
                  <c:v>Dyeing</c:v>
                </c:pt>
                <c:pt idx="1">
                  <c:v>Knitting</c:v>
                </c:pt>
              </c:strCache>
            </c:strRef>
          </c:cat>
          <c:val>
            <c:numRef>
              <c:f>Pivot!$B$4:$B$6</c:f>
              <c:numCache>
                <c:formatCode>General</c:formatCode>
                <c:ptCount val="2"/>
                <c:pt idx="0">
                  <c:v>2350</c:v>
                </c:pt>
                <c:pt idx="1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8-4BB5-8829-02CB3C3D95FB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Average of Efficiency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Pivot!$A$4:$A$6</c:f>
              <c:strCache>
                <c:ptCount val="2"/>
                <c:pt idx="0">
                  <c:v>Dyeing</c:v>
                </c:pt>
                <c:pt idx="1">
                  <c:v>Knitting</c:v>
                </c:pt>
              </c:strCache>
            </c:strRef>
          </c:cat>
          <c:val>
            <c:numRef>
              <c:f>Pivot!$C$4:$C$6</c:f>
              <c:numCache>
                <c:formatCode>General</c:formatCode>
                <c:ptCount val="2"/>
                <c:pt idx="0">
                  <c:v>84.25</c:v>
                </c:pt>
                <c:pt idx="1">
                  <c:v>87.833333333333329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8-4BB5-8829-02CB3C3D9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862512"/>
        <c:axId val="1893494144"/>
      </c:barChart>
      <c:catAx>
        <c:axId val="18938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94144"/>
        <c:crosses val="autoZero"/>
        <c:auto val="1"/>
        <c:lblAlgn val="ctr"/>
        <c:lblOffset val="100"/>
        <c:noMultiLvlLbl val="0"/>
      </c:catAx>
      <c:valAx>
        <c:axId val="18934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86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3</xdr:row>
      <xdr:rowOff>179070</xdr:rowOff>
    </xdr:from>
    <xdr:to>
      <xdr:col>12</xdr:col>
      <xdr:colOff>243840</xdr:colOff>
      <xdr:row>18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3D059-E4B5-2E4E-20BB-7B5A90385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runi Samarathunge" refreshedDate="46032.046683912034" createdVersion="8" refreshedVersion="8" minRefreshableVersion="3" recordCount="5" xr:uid="{4E700195-B2E4-44B1-8D07-EAFF79045B30}">
  <cacheSource type="worksheet">
    <worksheetSource name="Table1"/>
  </cacheSource>
  <cacheFields count="5">
    <cacheField name="Date" numFmtId="14">
      <sharedItems containsSemiMixedTypes="0" containsNonDate="0" containsDate="1" containsString="0" minDate="2025-01-01T00:00:00" maxDate="2025-01-04T00:00:00"/>
    </cacheField>
    <cacheField name="Department" numFmtId="0">
      <sharedItems count="2">
        <s v="Knitting"/>
        <s v="Dyeing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100" maxValue="1400"/>
    </cacheField>
    <cacheField name="Efficiency" numFmtId="0">
      <sharedItems containsSemiMixedTypes="0" containsString="0" containsNumber="1" minValue="82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5-01-01T00:00:00"/>
    <x v="0"/>
    <s v="Fabric A"/>
    <n v="1200"/>
    <n v="85.5"/>
  </r>
  <r>
    <d v="2025-01-01T00:00:00"/>
    <x v="1"/>
    <s v="Fabric A"/>
    <n v="1100"/>
    <n v="82"/>
  </r>
  <r>
    <d v="2025-01-02T00:00:00"/>
    <x v="0"/>
    <s v="Fabric B"/>
    <n v="1300"/>
    <n v="88"/>
  </r>
  <r>
    <d v="2025-01-02T00:00:00"/>
    <x v="1"/>
    <s v="Fabric B"/>
    <n v="1250"/>
    <n v="86.5"/>
  </r>
  <r>
    <d v="2025-01-03T00:00:00"/>
    <x v="0"/>
    <s v="Fabric A"/>
    <n v="1400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2D2D-02EC-4083-89FA-0BD25E59B35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6" firstHeaderRow="0" firstDataRow="1" firstDataCol="1"/>
  <pivotFields count="5">
    <pivotField numFmtId="1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Average of Efficiency" fld="4" subtotal="average" baseField="1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58EC6-C9B1-4AA7-9735-30EEFDBF8802}" name="Table1" displayName="Table1" ref="A1:E6" totalsRowShown="0">
  <autoFilter ref="A1:E6" xr:uid="{45C58EC6-C9B1-4AA7-9735-30EEFDBF8802}"/>
  <tableColumns count="5">
    <tableColumn id="1" xr3:uid="{19997BFA-7EC0-4CB1-81B9-360487937745}" name="Date" dataDxfId="0"/>
    <tableColumn id="2" xr3:uid="{6E97F626-5C30-4DB6-9A51-53622CEB1A70}" name="Department"/>
    <tableColumn id="3" xr3:uid="{3AD3DD03-4149-4BF7-9EBD-E5A53454429D}" name="Product"/>
    <tableColumn id="4" xr3:uid="{5C0C46FA-B19E-4F3C-AC42-390065D40856}" name="Quantity"/>
    <tableColumn id="5" xr3:uid="{6C9DC5A8-724A-4C57-A45A-1493C3033338}" name="Effici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C22A-3FA4-4C59-9A14-AB2BC748AEC3}">
  <dimension ref="A1:E6"/>
  <sheetViews>
    <sheetView tabSelected="1" workbookViewId="0">
      <selection activeCell="C3" sqref="C3"/>
    </sheetView>
  </sheetViews>
  <sheetFormatPr defaultRowHeight="14.4" x14ac:dyDescent="0.3"/>
  <cols>
    <col min="1" max="1" width="8.5546875" bestFit="1" customWidth="1"/>
    <col min="2" max="2" width="13.33203125" bestFit="1" customWidth="1"/>
    <col min="3" max="3" width="9.88671875" bestFit="1" customWidth="1"/>
    <col min="4" max="4" width="10.5546875" bestFit="1" customWidth="1"/>
    <col min="5" max="5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45658</v>
      </c>
      <c r="B2" t="s">
        <v>5</v>
      </c>
      <c r="C2" t="s">
        <v>6</v>
      </c>
      <c r="D2">
        <v>1200</v>
      </c>
      <c r="E2">
        <v>85.5</v>
      </c>
    </row>
    <row r="3" spans="1:5" x14ac:dyDescent="0.3">
      <c r="A3" s="1">
        <v>45658</v>
      </c>
      <c r="B3" t="s">
        <v>7</v>
      </c>
      <c r="C3" t="s">
        <v>6</v>
      </c>
      <c r="D3">
        <v>1100</v>
      </c>
      <c r="E3">
        <v>82</v>
      </c>
    </row>
    <row r="4" spans="1:5" x14ac:dyDescent="0.3">
      <c r="A4" s="1">
        <v>45659</v>
      </c>
      <c r="B4" t="s">
        <v>5</v>
      </c>
      <c r="C4" t="s">
        <v>8</v>
      </c>
      <c r="D4">
        <v>1300</v>
      </c>
      <c r="E4">
        <v>88</v>
      </c>
    </row>
    <row r="5" spans="1:5" x14ac:dyDescent="0.3">
      <c r="A5" s="1">
        <v>45659</v>
      </c>
      <c r="B5" t="s">
        <v>7</v>
      </c>
      <c r="C5" t="s">
        <v>8</v>
      </c>
      <c r="D5">
        <v>1250</v>
      </c>
      <c r="E5">
        <v>86.5</v>
      </c>
    </row>
    <row r="6" spans="1:5" x14ac:dyDescent="0.3">
      <c r="A6" s="1">
        <v>45660</v>
      </c>
      <c r="B6" t="s">
        <v>5</v>
      </c>
      <c r="C6" t="s">
        <v>6</v>
      </c>
      <c r="D6">
        <v>1400</v>
      </c>
      <c r="E6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2FB8-9C4C-4D42-B456-EBFE6E525169}">
  <dimension ref="A1:B11"/>
  <sheetViews>
    <sheetView workbookViewId="0">
      <selection activeCell="B10" sqref="B10:B11"/>
    </sheetView>
  </sheetViews>
  <sheetFormatPr defaultRowHeight="14.4" x14ac:dyDescent="0.3"/>
  <cols>
    <col min="1" max="1" width="10.77734375" bestFit="1" customWidth="1"/>
    <col min="2" max="2" width="12.6640625" bestFit="1" customWidth="1"/>
  </cols>
  <sheetData>
    <row r="1" spans="1:2" x14ac:dyDescent="0.3">
      <c r="A1" s="2" t="s">
        <v>10</v>
      </c>
      <c r="B1" s="2"/>
    </row>
    <row r="2" spans="1:2" x14ac:dyDescent="0.3">
      <c r="A2" s="4" t="s">
        <v>1</v>
      </c>
      <c r="B2" s="4" t="s">
        <v>9</v>
      </c>
    </row>
    <row r="3" spans="1:2" x14ac:dyDescent="0.3">
      <c r="A3" s="3" t="s">
        <v>5</v>
      </c>
      <c r="B3" s="3">
        <f>SUMIF(Raw_Data!B:B,"Knitting",Raw_Data!D:D)</f>
        <v>3900</v>
      </c>
    </row>
    <row r="4" spans="1:2" x14ac:dyDescent="0.3">
      <c r="A4" s="3" t="s">
        <v>7</v>
      </c>
      <c r="B4" s="3">
        <f>SUMIF(Raw_Data!B:B,"Dyeing",Raw_Data!D:D)</f>
        <v>2350</v>
      </c>
    </row>
    <row r="8" spans="1:2" x14ac:dyDescent="0.3">
      <c r="A8" t="s">
        <v>11</v>
      </c>
    </row>
    <row r="9" spans="1:2" x14ac:dyDescent="0.3">
      <c r="A9" s="4" t="s">
        <v>1</v>
      </c>
      <c r="B9" s="4" t="s">
        <v>12</v>
      </c>
    </row>
    <row r="10" spans="1:2" x14ac:dyDescent="0.3">
      <c r="A10" s="3" t="s">
        <v>5</v>
      </c>
      <c r="B10" s="3">
        <f>AVERAGEIF(Raw_Data!B:B,"Knitting",Raw_Data!E:E)</f>
        <v>87.833333333333329</v>
      </c>
    </row>
    <row r="11" spans="1:2" x14ac:dyDescent="0.3">
      <c r="A11" s="3" t="s">
        <v>7</v>
      </c>
      <c r="B11" s="3">
        <f>AVERAGEIF(Raw_Data!B:B,"Knitting",Raw_Data!E:E)</f>
        <v>87.833333333333329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D288-6243-4821-A8D6-997621F408B2}">
  <dimension ref="A3:C6"/>
  <sheetViews>
    <sheetView workbookViewId="0">
      <selection activeCell="J21" sqref="J2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8.88671875" bestFit="1" customWidth="1"/>
  </cols>
  <sheetData>
    <row r="3" spans="1:3" x14ac:dyDescent="0.3">
      <c r="A3" s="5" t="s">
        <v>13</v>
      </c>
      <c r="B3" t="s">
        <v>15</v>
      </c>
      <c r="C3" t="s">
        <v>16</v>
      </c>
    </row>
    <row r="4" spans="1:3" x14ac:dyDescent="0.3">
      <c r="A4" s="6" t="s">
        <v>7</v>
      </c>
      <c r="B4" s="7">
        <v>2350</v>
      </c>
      <c r="C4" s="7">
        <v>84.25</v>
      </c>
    </row>
    <row r="5" spans="1:3" x14ac:dyDescent="0.3">
      <c r="A5" s="6" t="s">
        <v>5</v>
      </c>
      <c r="B5" s="7">
        <v>3900</v>
      </c>
      <c r="C5" s="7">
        <v>87.833333333333329</v>
      </c>
    </row>
    <row r="6" spans="1:3" x14ac:dyDescent="0.3">
      <c r="A6" s="6" t="s">
        <v>14</v>
      </c>
      <c r="B6" s="7">
        <v>6250</v>
      </c>
      <c r="C6" s="7">
        <v>86.4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1e74f8fa-4f70-4c10-a481-9ace1c42864a}" enabled="1" method="Privileged" siteId="{852c5799-8134-4f15-9d38-eba4296cc7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Summary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Waruni Samarathunge</dc:creator>
  <cp:lastModifiedBy>Waruni Samarathunge</cp:lastModifiedBy>
  <dcterms:created xsi:type="dcterms:W3CDTF">2026-01-09T19:30:59Z</dcterms:created>
  <dcterms:modified xsi:type="dcterms:W3CDTF">2026-01-09T19:39:27Z</dcterms:modified>
</cp:coreProperties>
</file>